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jto\Downloads\"/>
    </mc:Choice>
  </mc:AlternateContent>
  <xr:revisionPtr revIDLastSave="0" documentId="13_ncr:1_{5F7F0A11-1178-4E8A-A629-23B48FC54BE1}" xr6:coauthVersionLast="47" xr6:coauthVersionMax="47" xr10:uidLastSave="{00000000-0000-0000-0000-000000000000}"/>
  <bookViews>
    <workbookView xWindow="-108" yWindow="-108" windowWidth="23256" windowHeight="12456" xr2:uid="{060EC0F2-E01F-447B-8195-8C34DD311617}"/>
  </bookViews>
  <sheets>
    <sheet name="H Bri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U20" i="1"/>
</calcChain>
</file>

<file path=xl/sharedStrings.xml><?xml version="1.0" encoding="utf-8"?>
<sst xmlns="http://schemas.openxmlformats.org/spreadsheetml/2006/main" count="98" uniqueCount="92">
  <si>
    <t>Id</t>
  </si>
  <si>
    <t>Q6,Q3</t>
  </si>
  <si>
    <t>TO-252-2</t>
  </si>
  <si>
    <t>IRLZ44N</t>
  </si>
  <si>
    <t>R4,R6</t>
  </si>
  <si>
    <t>R_0805_2012Metric</t>
  </si>
  <si>
    <t>100R</t>
  </si>
  <si>
    <t>C3,C2,C5,C4</t>
  </si>
  <si>
    <t>C_0805_2012Metric</t>
  </si>
  <si>
    <t>100nF</t>
  </si>
  <si>
    <t>Q5,Q1</t>
  </si>
  <si>
    <t>IRFR9024N</t>
  </si>
  <si>
    <t>R8,R3,R2,R7</t>
  </si>
  <si>
    <t>10K</t>
  </si>
  <si>
    <t>D3,D4,D1,D2</t>
  </si>
  <si>
    <t>D_SMA</t>
  </si>
  <si>
    <t>SS34</t>
  </si>
  <si>
    <t>M1</t>
  </si>
  <si>
    <t>JST_NV_B02P-NV_1x02_P5.00mm_Vertical</t>
  </si>
  <si>
    <t>Motor_DC</t>
  </si>
  <si>
    <t>Q2,Q4</t>
  </si>
  <si>
    <t>SOT-23</t>
  </si>
  <si>
    <t>BC847</t>
  </si>
  <si>
    <t>R5,R1</t>
  </si>
  <si>
    <t>1K</t>
  </si>
  <si>
    <t>C1</t>
  </si>
  <si>
    <t>CP_Elec_10x10</t>
  </si>
  <si>
    <t>470uF</t>
  </si>
  <si>
    <t>J1</t>
  </si>
  <si>
    <t>PWR_IN</t>
  </si>
  <si>
    <t>J2</t>
  </si>
  <si>
    <t>PinHeader_1x04_P2.54mm_Vertical</t>
  </si>
  <si>
    <t>LOGIC_IN</t>
  </si>
  <si>
    <t>Symbol</t>
  </si>
  <si>
    <t>Footprint</t>
  </si>
  <si>
    <t>Quantity</t>
  </si>
  <si>
    <t>Description</t>
  </si>
  <si>
    <t>LCSC ID</t>
  </si>
  <si>
    <t>LCSC Handling fee</t>
  </si>
  <si>
    <t>LCSC Shipping</t>
  </si>
  <si>
    <t>JLCPCB PCB</t>
  </si>
  <si>
    <t>PCB</t>
  </si>
  <si>
    <t>The whole LCSC cart can be downloaded on GitHub. (To check all the prices and links).</t>
  </si>
  <si>
    <t>USD Price</t>
  </si>
  <si>
    <t>C2680878</t>
  </si>
  <si>
    <t>C2907218</t>
  </si>
  <si>
    <t>C2907219</t>
  </si>
  <si>
    <t>C41430593</t>
  </si>
  <si>
    <t>C908680</t>
  </si>
  <si>
    <t>C57668</t>
  </si>
  <si>
    <t>C474881</t>
  </si>
  <si>
    <t>C52016392</t>
  </si>
  <si>
    <t>C72518</t>
  </si>
  <si>
    <t>C2907232</t>
  </si>
  <si>
    <t>C49678</t>
  </si>
  <si>
    <t>Item Total:</t>
  </si>
  <si>
    <t xml:space="preserve">I will not be using this cart/LCSC due to the new high tarrifs for EU, instead I  </t>
  </si>
  <si>
    <t>will use a seller from my country (GME.CZ), but I also included LCSC so you</t>
  </si>
  <si>
    <t>can purchase and complete this project too.</t>
  </si>
  <si>
    <t>915-060</t>
  </si>
  <si>
    <t>915-014</t>
  </si>
  <si>
    <t>901-212</t>
  </si>
  <si>
    <t>906-096</t>
  </si>
  <si>
    <t>901-176</t>
  </si>
  <si>
    <t>920-028</t>
  </si>
  <si>
    <t>912-017</t>
  </si>
  <si>
    <t>901-029</t>
  </si>
  <si>
    <t>908-032</t>
  </si>
  <si>
    <t>Ordering quantity (MOQ):</t>
  </si>
  <si>
    <t>Code:</t>
  </si>
  <si>
    <t>Part:</t>
  </si>
  <si>
    <t>IRFR9024NTRPBF (same alternative)</t>
  </si>
  <si>
    <t>IRLR2905PBF (same alternative)</t>
  </si>
  <si>
    <t>100R 0805</t>
  </si>
  <si>
    <t>100nF 50V</t>
  </si>
  <si>
    <t>Price (CZK):</t>
  </si>
  <si>
    <t>10K 0805</t>
  </si>
  <si>
    <t>1K 0805</t>
  </si>
  <si>
    <t>470uF 25V</t>
  </si>
  <si>
    <t>TOTAL IN CZK:</t>
  </si>
  <si>
    <t>1USD=20,85CZK</t>
  </si>
  <si>
    <t>I will use local seller based in the EU to avoid the new tarrif, (https://www.gme.cz/), I also included LCSC breakdown and downloadable cart.</t>
  </si>
  <si>
    <t>Breakdown from GME.CZ</t>
  </si>
  <si>
    <t>’+8,44USD</t>
  </si>
  <si>
    <t>PCB From JLCPCB</t>
  </si>
  <si>
    <t>TOTAL:</t>
  </si>
  <si>
    <t>Amount for requesting:</t>
  </si>
  <si>
    <t>Local shipping</t>
  </si>
  <si>
    <t>15,54USD</t>
  </si>
  <si>
    <t>23,98USD</t>
  </si>
  <si>
    <t>26USD</t>
  </si>
  <si>
    <t>´+ 69CZK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</si>
</sst>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0" fontId="1" fillId="11" borderId="0" xfId="20"/>
    <xf numFmtId="0" fontId="1" fillId="11" borderId="10" xfId="20" applyBorder="1"/>
    <xf numFmtId="0" fontId="17" fillId="9" borderId="20" xfId="18" applyBorder="1"/>
    <xf numFmtId="0" fontId="17" fillId="9" borderId="11" xfId="18" applyBorder="1"/>
    <xf numFmtId="0" fontId="17" fillId="9" borderId="21" xfId="18" applyBorder="1"/>
    <xf numFmtId="0" fontId="17" fillId="9" borderId="22" xfId="18" applyBorder="1"/>
    <xf numFmtId="0" fontId="1" fillId="11" borderId="17" xfId="20" applyBorder="1" applyAlignment="1">
      <alignment horizontal="center" vertical="center"/>
    </xf>
    <xf numFmtId="0" fontId="1" fillId="11" borderId="18" xfId="20" applyBorder="1" applyAlignment="1">
      <alignment horizontal="center" vertical="center"/>
    </xf>
    <xf numFmtId="2" fontId="1" fillId="11" borderId="19" xfId="20" applyNumberFormat="1" applyBorder="1" applyAlignment="1">
      <alignment horizontal="center" vertical="center"/>
    </xf>
    <xf numFmtId="0" fontId="1" fillId="11" borderId="12" xfId="20" applyBorder="1" applyAlignment="1">
      <alignment horizontal="center" vertical="center"/>
    </xf>
    <xf numFmtId="0" fontId="1" fillId="11" borderId="10" xfId="20" applyBorder="1" applyAlignment="1">
      <alignment horizontal="center" vertical="center"/>
    </xf>
    <xf numFmtId="2" fontId="1" fillId="11" borderId="13" xfId="20" applyNumberFormat="1" applyBorder="1" applyAlignment="1">
      <alignment horizontal="center" vertical="center"/>
    </xf>
    <xf numFmtId="0" fontId="1" fillId="11" borderId="14" xfId="20" applyBorder="1" applyAlignment="1">
      <alignment horizontal="center" vertical="center"/>
    </xf>
    <xf numFmtId="0" fontId="1" fillId="11" borderId="15" xfId="20" applyBorder="1" applyAlignment="1">
      <alignment horizontal="center" vertical="center"/>
    </xf>
    <xf numFmtId="2" fontId="1" fillId="11" borderId="16" xfId="20" applyNumberFormat="1" applyBorder="1" applyAlignment="1">
      <alignment horizontal="center" vertical="center"/>
    </xf>
    <xf numFmtId="0" fontId="1" fillId="11" borderId="18" xfId="20" applyBorder="1" applyAlignment="1">
      <alignment horizontal="left" vertical="center"/>
    </xf>
    <xf numFmtId="0" fontId="1" fillId="11" borderId="10" xfId="20" applyBorder="1" applyAlignment="1">
      <alignment horizontal="left" vertical="center"/>
    </xf>
    <xf numFmtId="0" fontId="1" fillId="11" borderId="15" xfId="20" applyBorder="1" applyAlignment="1">
      <alignment horizontal="left" vertical="center"/>
    </xf>
    <xf numFmtId="0" fontId="17" fillId="17" borderId="20" xfId="26" applyBorder="1"/>
    <xf numFmtId="0" fontId="17" fillId="17" borderId="21" xfId="26" applyBorder="1"/>
    <xf numFmtId="0" fontId="17" fillId="17" borderId="22" xfId="26" applyBorder="1"/>
    <xf numFmtId="2" fontId="0" fillId="0" borderId="0" xfId="0" applyNumberFormat="1"/>
    <xf numFmtId="0" fontId="18" fillId="9" borderId="20" xfId="18" applyFont="1" applyBorder="1"/>
    <xf numFmtId="0" fontId="0" fillId="33" borderId="0" xfId="0" applyFill="1"/>
    <xf numFmtId="0" fontId="19" fillId="33" borderId="0" xfId="18" applyFont="1" applyFill="1" applyBorder="1"/>
    <xf numFmtId="2" fontId="18" fillId="9" borderId="22" xfId="18" applyNumberFormat="1" applyFont="1" applyBorder="1"/>
    <xf numFmtId="0" fontId="20" fillId="33" borderId="0" xfId="13" applyFont="1" applyFill="1" applyBorder="1"/>
    <xf numFmtId="0" fontId="14" fillId="34" borderId="0" xfId="0" applyFont="1" applyFill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1" fillId="15" borderId="15" xfId="24" applyBorder="1" applyAlignment="1">
      <alignment horizontal="center"/>
    </xf>
    <xf numFmtId="0" fontId="18" fillId="13" borderId="11" xfId="22" applyFont="1" applyBorder="1" applyAlignment="1">
      <alignment horizontal="center"/>
    </xf>
    <xf numFmtId="0" fontId="21" fillId="15" borderId="12" xfId="24" applyFont="1" applyBorder="1"/>
    <xf numFmtId="0" fontId="21" fillId="15" borderId="10" xfId="24" applyFont="1" applyBorder="1" applyAlignment="1">
      <alignment horizontal="center"/>
    </xf>
    <xf numFmtId="0" fontId="21" fillId="15" borderId="13" xfId="24" applyFont="1" applyBorder="1" applyAlignment="1">
      <alignment horizontal="center"/>
    </xf>
    <xf numFmtId="0" fontId="21" fillId="15" borderId="14" xfId="24" applyFont="1" applyBorder="1"/>
    <xf numFmtId="0" fontId="21" fillId="15" borderId="16" xfId="24" applyFont="1" applyBorder="1" applyAlignment="1">
      <alignment horizontal="center"/>
    </xf>
    <xf numFmtId="0" fontId="22" fillId="0" borderId="0" xfId="0" applyFont="1" applyAlignment="1">
      <alignment horizontal="right"/>
    </xf>
    <xf numFmtId="0" fontId="21" fillId="0" borderId="0" xfId="0" applyFont="1"/>
    <xf numFmtId="0" fontId="18" fillId="13" borderId="0" xfId="22" applyFont="1"/>
    <xf numFmtId="0" fontId="22" fillId="0" borderId="26" xfId="0" applyFont="1" applyBorder="1" applyAlignment="1">
      <alignment horizontal="center"/>
    </xf>
    <xf numFmtId="0" fontId="18" fillId="13" borderId="20" xfId="22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8" fillId="13" borderId="20" xfId="22" applyFont="1" applyBorder="1" applyAlignment="1"/>
    <xf numFmtId="0" fontId="18" fillId="13" borderId="22" xfId="22" applyFont="1" applyBorder="1" applyAlignment="1"/>
    <xf numFmtId="0" fontId="21" fillId="33" borderId="0" xfId="0" applyFont="1" applyFill="1"/>
    <xf numFmtId="0" fontId="18" fillId="13" borderId="27" xfId="22" applyFont="1" applyBorder="1" applyAlignment="1">
      <alignment horizontal="center"/>
    </xf>
    <xf numFmtId="0" fontId="23" fillId="13" borderId="20" xfId="22" applyFont="1" applyBorder="1" applyAlignment="1">
      <alignment horizontal="center"/>
    </xf>
    <xf numFmtId="0" fontId="23" fillId="13" borderId="21" xfId="22" applyFont="1" applyBorder="1" applyAlignment="1">
      <alignment horizontal="center"/>
    </xf>
    <xf numFmtId="0" fontId="23" fillId="13" borderId="11" xfId="22" applyFont="1" applyBorder="1" applyAlignment="1">
      <alignment horizontal="center"/>
    </xf>
    <xf numFmtId="0" fontId="22" fillId="0" borderId="0" xfId="0" applyFont="1" applyBorder="1" applyAlignment="1">
      <alignment horizontal="right"/>
    </xf>
    <xf numFmtId="0" fontId="18" fillId="13" borderId="28" xfId="22" applyFont="1" applyBorder="1" applyAlignment="1">
      <alignment horizontal="center"/>
    </xf>
    <xf numFmtId="0" fontId="18" fillId="13" borderId="29" xfId="22" applyFont="1" applyBorder="1" applyAlignment="1">
      <alignment horizontal="center"/>
    </xf>
    <xf numFmtId="0" fontId="21" fillId="15" borderId="23" xfId="24" applyFont="1" applyBorder="1"/>
    <xf numFmtId="0" fontId="21" fillId="15" borderId="24" xfId="24" applyFont="1" applyBorder="1" applyAlignment="1">
      <alignment horizontal="center"/>
    </xf>
    <xf numFmtId="0" fontId="21" fillId="15" borderId="25" xfId="24" applyFont="1" applyBorder="1" applyAlignment="1">
      <alignment horizontal="center"/>
    </xf>
    <xf numFmtId="0" fontId="18" fillId="13" borderId="30" xfId="22" applyFont="1" applyBorder="1"/>
    <xf numFmtId="0" fontId="18" fillId="13" borderId="31" xfId="22" applyFont="1" applyBorder="1" applyAlignment="1">
      <alignment horizontal="center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48127</xdr:colOff>
      <xdr:row>15</xdr:row>
      <xdr:rowOff>96252</xdr:rowOff>
    </xdr:from>
    <xdr:to>
      <xdr:col>6</xdr:col>
      <xdr:colOff>569495</xdr:colOff>
      <xdr:row>15</xdr:row>
      <xdr:rowOff>96252</xdr:rowOff>
    </xdr:to>
    <xdr:cxnSp macro="">
      <xdr:nvCxnSpPr>
        <xdr:cNvPr id="5" name="Přímá spojnice se šipkou 4">
          <a:extLst>
            <a:ext uri="{FF2B5EF4-FFF2-40B4-BE49-F238E27FC236}">
              <a16:creationId xmlns:a16="http://schemas.microsoft.com/office/drawing/2014/main" id="{262D4EFA-B5CC-1487-B2CA-A196DD802528}"/>
            </a:ext>
          </a:extLst>
        </xdr:cNvPr>
        <xdr:cNvCxnSpPr/>
      </xdr:nvCxnSpPr>
      <xdr:spPr>
        <a:xfrm>
          <a:off x="6713622" y="2919663"/>
          <a:ext cx="52136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64168</xdr:colOff>
      <xdr:row>1</xdr:row>
      <xdr:rowOff>120316</xdr:rowOff>
    </xdr:from>
    <xdr:to>
      <xdr:col>13</xdr:col>
      <xdr:colOff>385010</xdr:colOff>
      <xdr:row>4</xdr:row>
      <xdr:rowOff>88232</xdr:rowOff>
    </xdr:to>
    <xdr:cxnSp macro="">
      <xdr:nvCxnSpPr>
        <xdr:cNvPr id="7" name="Přímá spojnice se šipkou 6">
          <a:extLst>
            <a:ext uri="{FF2B5EF4-FFF2-40B4-BE49-F238E27FC236}">
              <a16:creationId xmlns:a16="http://schemas.microsoft.com/office/drawing/2014/main" id="{E558A639-C838-D5C4-BF6F-3F06B9EE2E36}"/>
            </a:ext>
          </a:extLst>
        </xdr:cNvPr>
        <xdr:cNvCxnSpPr/>
      </xdr:nvCxnSpPr>
      <xdr:spPr>
        <a:xfrm>
          <a:off x="9745579" y="312821"/>
          <a:ext cx="1540042" cy="54543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80210</xdr:colOff>
      <xdr:row>1</xdr:row>
      <xdr:rowOff>64169</xdr:rowOff>
    </xdr:from>
    <xdr:to>
      <xdr:col>13</xdr:col>
      <xdr:colOff>521368</xdr:colOff>
      <xdr:row>1</xdr:row>
      <xdr:rowOff>152400</xdr:rowOff>
    </xdr:to>
    <xdr:cxnSp macro="">
      <xdr:nvCxnSpPr>
        <xdr:cNvPr id="9" name="Přímá spojnice se šipkou 8">
          <a:extLst>
            <a:ext uri="{FF2B5EF4-FFF2-40B4-BE49-F238E27FC236}">
              <a16:creationId xmlns:a16="http://schemas.microsoft.com/office/drawing/2014/main" id="{E4D4711F-F274-FF54-C81F-69FA0494CFBE}"/>
            </a:ext>
          </a:extLst>
        </xdr:cNvPr>
        <xdr:cNvCxnSpPr/>
      </xdr:nvCxnSpPr>
      <xdr:spPr>
        <a:xfrm>
          <a:off x="9761621" y="256674"/>
          <a:ext cx="1660358" cy="8823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515198</xdr:colOff>
      <xdr:row>19</xdr:row>
      <xdr:rowOff>182016</xdr:rowOff>
    </xdr:from>
    <xdr:to>
      <xdr:col>4</xdr:col>
      <xdr:colOff>1401216</xdr:colOff>
      <xdr:row>40</xdr:row>
      <xdr:rowOff>103013</xdr:rowOff>
    </xdr:to>
    <xdr:pic>
      <xdr:nvPicPr>
        <xdr:cNvPr id="10" name="Obrázek 9">
          <a:extLst>
            <a:ext uri="{FF2B5EF4-FFF2-40B4-BE49-F238E27FC236}">
              <a16:creationId xmlns:a16="http://schemas.microsoft.com/office/drawing/2014/main" id="{C38B46AA-DCE2-20E0-A1C8-FCC52983E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721" y="3769278"/>
          <a:ext cx="5012541" cy="3859950"/>
        </a:xfrm>
        <a:prstGeom prst="rect">
          <a:avLst/>
        </a:prstGeom>
      </xdr:spPr>
    </xdr:pic>
    <xdr:clientData/>
  </xdr:twoCellAnchor>
  <xdr:twoCellAnchor editAs="oneCell">
    <xdr:from>
      <xdr:col>5</xdr:col>
      <xdr:colOff>346140</xdr:colOff>
      <xdr:row>21</xdr:row>
      <xdr:rowOff>114761</xdr:rowOff>
    </xdr:from>
    <xdr:to>
      <xdr:col>9</xdr:col>
      <xdr:colOff>463417</xdr:colOff>
      <xdr:row>34</xdr:row>
      <xdr:rowOff>77681</xdr:rowOff>
    </xdr:to>
    <xdr:pic>
      <xdr:nvPicPr>
        <xdr:cNvPr id="12" name="Obrázek 11">
          <a:extLst>
            <a:ext uri="{FF2B5EF4-FFF2-40B4-BE49-F238E27FC236}">
              <a16:creationId xmlns:a16="http://schemas.microsoft.com/office/drawing/2014/main" id="{A35B5A78-70BB-FBBD-C074-86899A2B2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909" y="4077161"/>
          <a:ext cx="2954262" cy="2401320"/>
        </a:xfrm>
        <a:prstGeom prst="rect">
          <a:avLst/>
        </a:prstGeom>
      </xdr:spPr>
    </xdr:pic>
    <xdr:clientData/>
  </xdr:twoCellAnchor>
  <xdr:twoCellAnchor editAs="oneCell">
    <xdr:from>
      <xdr:col>4</xdr:col>
      <xdr:colOff>808893</xdr:colOff>
      <xdr:row>41</xdr:row>
      <xdr:rowOff>117230</xdr:rowOff>
    </xdr:from>
    <xdr:to>
      <xdr:col>8</xdr:col>
      <xdr:colOff>103449</xdr:colOff>
      <xdr:row>48</xdr:row>
      <xdr:rowOff>31116</xdr:rowOff>
    </xdr:to>
    <xdr:pic>
      <xdr:nvPicPr>
        <xdr:cNvPr id="14" name="Obrázek 13">
          <a:extLst>
            <a:ext uri="{FF2B5EF4-FFF2-40B4-BE49-F238E27FC236}">
              <a16:creationId xmlns:a16="http://schemas.microsoft.com/office/drawing/2014/main" id="{52662BA2-5A20-B72A-7DE3-6E1FBD3BE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51939" y="7831015"/>
          <a:ext cx="3057664" cy="1226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72518.html?s_z=n_q_t_capacitor&amp;spm=wm.fly.bg.3.cbh___wm.ssy.tc.0.tz&amp;lcsc_vid=FlddVwdQFVVeXgVeQ1MIX1AHFgBXVV0HFFhdVAUEFAQxVlNeR1JdUlJfQ1lcUTsOAxUeFF5JWBYZEEoKFBINSQcJGk4NBhADEA4cHktXRVJADxALGw%3D%3D" TargetMode="External"/><Relationship Id="rId3" Type="http://schemas.openxmlformats.org/officeDocument/2006/relationships/hyperlink" Target="https://www.lcsc.com/product-detail/C41430593.html?s_z=n_q_IRFR9024N&amp;spm=wm.fly.bg.2.cbh&amp;lcsc_vid=FlddVwdQFVVeXgVeQ1MIX1AHFgBXVV0HFFhdVAUEFAQxVlNeR1JdVVZST1NfUzsOAxUeFF5JWBYZEEoKFBINSQcJGk4NBhADEA4cHktXRlhXSQwSGg0%3D" TargetMode="External"/><Relationship Id="rId7" Type="http://schemas.openxmlformats.org/officeDocument/2006/relationships/hyperlink" Target="https://www.lcsc.com/product-detail/C52016392.html?s_z=n_q_p_pin%2520header%25201%2A4&amp;spm=wm.ssy.bg.4.cbh&amp;lcsc_vid=FlddVwdQFVVeXgVeQ1MIX1AHFgBXVV0HFFhdVAUEFAQxVlNeR1JdUlZTT1heVzsOAxUeFF5JWBYZEEoKFBINSQcJGk4dAgUUFAk%3D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lcsc.com/product-detail/C2680878.html?s_z=n_q_IRLZ44N&amp;spm=wm.fly.bg.0.cbh&amp;lcsc_vid=FlddVwdQFVVeXgVeQ1MIX1AHFgBXVV0HFFhdVAUEFAQxVlNeR1JdVl1URVlZXjsOAxUeFF5JWBYZEEoKFBINSQcJGk4NBhYS" TargetMode="External"/><Relationship Id="rId1" Type="http://schemas.openxmlformats.org/officeDocument/2006/relationships/hyperlink" Target="https://www.lcsc.com/product-detail/C2907218.html?s_z=n_q_t_resistor&amp;spm=wm.fly.bg.1.cbh___wm.ssy.tc.0.tz&amp;lcsc_vid=FlddVwdQFVVeXgVeQ1MIX1AHFgBXVV0HFFhdVAUEFAQxVlNeR1JdVVRWQlFZVDsOAxUeFF5JWBYZEEoKFBINSQcJGk4eFQsCAgIaSgADAwAHC0slRVdWV1xRT08GEwkK" TargetMode="External"/><Relationship Id="rId6" Type="http://schemas.openxmlformats.org/officeDocument/2006/relationships/hyperlink" Target="https://www.lcsc.com/product-detail/Screw-terminal_Cixi-Kefa-Elec-KF301-5-0-2P_C474881.html" TargetMode="External"/><Relationship Id="rId11" Type="http://schemas.openxmlformats.org/officeDocument/2006/relationships/hyperlink" Target="https://www.lcsc.com/product-detail/C49678.html?s_z=n_q_t_capacitor&amp;spm=wm.fly.bg.0.cbh___wm.ssy.tc.2.tz&amp;lcsc_vid=FlddVwdQFVVeXgVeQ1MIX1AHFgBXVV0HFFhdVAUEFAQxVlNeR1JaVlJRR1ZWXjsOAxUeFF5JWBYZEEoKFBINSQcJGk4NBhYS" TargetMode="External"/><Relationship Id="rId5" Type="http://schemas.openxmlformats.org/officeDocument/2006/relationships/hyperlink" Target="https://www.lcsc.com/product-detail/C57668.html?s_z=n_q_t_transistor&amp;spm=wm.fly.bg.0.cbh___wm.ssy.tc.0.tz&amp;lcsc_vid=FlddVwdQFVVeXgVeQ1MIX1AHFgBXVV0HFFhdVAUEFAQxVlNeR1JdU11STlReVzsOAxUeFF5JWBYZEEoKFBINSQcJGk4eFQsCAgIaSgADAwAHC0slRFBXUl1eQ08GEwkK" TargetMode="External"/><Relationship Id="rId10" Type="http://schemas.openxmlformats.org/officeDocument/2006/relationships/hyperlink" Target="https://www.lcsc.com/product-detail/C2907219.html?s_z=n_q_t_resistor&amp;spm=wm.fly.bg.0.cbh___wm.ssy.tc.0.tz&amp;lcsc_vid=FlddVwdQFVVeXgVeQ1MIX1AHFgBXVV0HFFhdVAUEFAQxVlNeR1JdUlxeRldXUDsOAxUeFF5JWBYZEEoKFBINSQcJGk4NBhADEA4cHktXRlVeSQwSGg0%3D" TargetMode="External"/><Relationship Id="rId4" Type="http://schemas.openxmlformats.org/officeDocument/2006/relationships/hyperlink" Target="https://www.lcsc.com/product-detail/C908680.html?s_z=n_q_C908680&amp;globalKeyword=C908680" TargetMode="External"/><Relationship Id="rId9" Type="http://schemas.openxmlformats.org/officeDocument/2006/relationships/hyperlink" Target="https://www.lcsc.com/product-detail/C2907232.html?s_z=n_q_t_resistor&amp;spm=wm.fly.bg.0.cbh___wm.ssy.tc.0.tz&amp;lcsc_vid=FlddVwdQFVVeXgVeQ1MIX1AHFgBXVV0HFFhdVAUEFAQxVlNeR1JdUlxeRldXUDsOAxUeFF5JWBYZEEoKFBINSQcJGk4NBhADEA4cHktXRlVeSQwSGg0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FE20-B05D-4C19-A5DC-EC299403E461}">
  <dimension ref="B1:V40"/>
  <sheetViews>
    <sheetView tabSelected="1" zoomScale="65" zoomScaleNormal="65" workbookViewId="0">
      <selection activeCell="M42" sqref="M42"/>
    </sheetView>
  </sheetViews>
  <sheetFormatPr defaultRowHeight="14.4" x14ac:dyDescent="0.3"/>
  <cols>
    <col min="1" max="1" width="4.5546875" customWidth="1"/>
    <col min="2" max="2" width="20.77734375" customWidth="1"/>
    <col min="3" max="3" width="30.44140625" customWidth="1"/>
    <col min="5" max="5" width="22.44140625" customWidth="1"/>
    <col min="6" max="6" width="10.109375" customWidth="1"/>
    <col min="7" max="7" width="11.88671875" customWidth="1"/>
    <col min="8" max="8" width="10.44140625" customWidth="1"/>
    <col min="11" max="11" width="8.109375" customWidth="1"/>
    <col min="16" max="16" width="12.44140625" customWidth="1"/>
    <col min="17" max="17" width="35.109375" customWidth="1"/>
    <col min="19" max="19" width="10.5546875" customWidth="1"/>
    <col min="20" max="20" width="10.88671875" customWidth="1"/>
    <col min="21" max="21" width="8" customWidth="1"/>
  </cols>
  <sheetData>
    <row r="1" spans="2:22" ht="15" thickBot="1" x14ac:dyDescent="0.35"/>
    <row r="2" spans="2:22" ht="15" thickBot="1" x14ac:dyDescent="0.35">
      <c r="C2" s="40" t="s">
        <v>81</v>
      </c>
      <c r="D2" s="40"/>
      <c r="E2" s="40"/>
      <c r="F2" s="40"/>
      <c r="G2" s="40"/>
      <c r="H2" s="40"/>
      <c r="I2" s="40"/>
      <c r="J2" s="40"/>
      <c r="K2" s="40"/>
      <c r="O2" s="19" t="s">
        <v>42</v>
      </c>
      <c r="P2" s="20"/>
      <c r="Q2" s="20"/>
      <c r="R2" s="20"/>
      <c r="S2" s="20"/>
      <c r="T2" s="20"/>
      <c r="U2" s="20"/>
      <c r="V2" s="21"/>
    </row>
    <row r="3" spans="2:22" ht="15" thickBot="1" x14ac:dyDescent="0.35">
      <c r="B3" s="29"/>
      <c r="C3" s="29"/>
      <c r="D3" s="29"/>
      <c r="E3" s="29"/>
      <c r="F3" s="29"/>
      <c r="G3" s="29"/>
    </row>
    <row r="4" spans="2:22" ht="15" thickBot="1" x14ac:dyDescent="0.35">
      <c r="B4" s="29"/>
      <c r="C4" s="41" t="s">
        <v>82</v>
      </c>
      <c r="D4" s="41"/>
      <c r="E4" s="41"/>
      <c r="F4" s="41"/>
      <c r="G4" s="29"/>
      <c r="I4" s="27"/>
      <c r="J4" s="27"/>
      <c r="K4" s="27"/>
      <c r="L4" s="27"/>
      <c r="M4" s="27"/>
      <c r="N4" s="27"/>
      <c r="O4" s="3" t="s">
        <v>0</v>
      </c>
      <c r="P4" s="4" t="s">
        <v>33</v>
      </c>
      <c r="Q4" s="5" t="s">
        <v>34</v>
      </c>
      <c r="R4" s="4" t="s">
        <v>35</v>
      </c>
      <c r="S4" s="5" t="s">
        <v>36</v>
      </c>
      <c r="T4" s="4" t="s">
        <v>37</v>
      </c>
      <c r="U4" s="6" t="s">
        <v>43</v>
      </c>
    </row>
    <row r="5" spans="2:22" ht="15" thickBot="1" x14ac:dyDescent="0.35">
      <c r="B5" s="29"/>
      <c r="C5" s="57" t="s">
        <v>70</v>
      </c>
      <c r="D5" s="47" t="s">
        <v>69</v>
      </c>
      <c r="E5" s="47" t="s">
        <v>68</v>
      </c>
      <c r="F5" s="58" t="s">
        <v>75</v>
      </c>
      <c r="G5" s="29"/>
      <c r="I5" s="27"/>
      <c r="J5" s="27"/>
      <c r="K5" s="27"/>
      <c r="L5" s="27"/>
      <c r="M5" s="27"/>
      <c r="N5" s="27"/>
      <c r="O5" s="7">
        <v>1</v>
      </c>
      <c r="P5" s="16" t="s">
        <v>1</v>
      </c>
      <c r="Q5" s="16" t="s">
        <v>2</v>
      </c>
      <c r="R5" s="8">
        <v>2</v>
      </c>
      <c r="S5" s="16" t="s">
        <v>3</v>
      </c>
      <c r="T5" s="1" t="s">
        <v>44</v>
      </c>
      <c r="U5" s="9">
        <v>2.11</v>
      </c>
    </row>
    <row r="6" spans="2:22" x14ac:dyDescent="0.3">
      <c r="B6" s="29"/>
      <c r="C6" s="54" t="s">
        <v>71</v>
      </c>
      <c r="D6" s="55" t="s">
        <v>59</v>
      </c>
      <c r="E6" s="55">
        <v>2</v>
      </c>
      <c r="F6" s="56">
        <v>38</v>
      </c>
      <c r="G6" s="29"/>
      <c r="I6" s="27"/>
      <c r="J6" s="27"/>
      <c r="K6" s="27"/>
      <c r="L6" s="27"/>
      <c r="M6" s="27"/>
      <c r="N6" s="27"/>
      <c r="O6" s="10">
        <v>2</v>
      </c>
      <c r="P6" s="17" t="s">
        <v>4</v>
      </c>
      <c r="Q6" s="17" t="s">
        <v>5</v>
      </c>
      <c r="R6" s="11">
        <v>2</v>
      </c>
      <c r="S6" s="17" t="s">
        <v>6</v>
      </c>
      <c r="T6" s="2" t="s">
        <v>45</v>
      </c>
      <c r="U6" s="12">
        <v>0.23</v>
      </c>
    </row>
    <row r="7" spans="2:22" x14ac:dyDescent="0.3">
      <c r="B7" s="29"/>
      <c r="C7" s="33" t="s">
        <v>72</v>
      </c>
      <c r="D7" s="34" t="s">
        <v>60</v>
      </c>
      <c r="E7" s="34">
        <v>2</v>
      </c>
      <c r="F7" s="35">
        <v>66</v>
      </c>
      <c r="G7" s="29"/>
      <c r="I7" s="27"/>
      <c r="J7" s="27"/>
      <c r="K7" s="27"/>
      <c r="L7" s="27"/>
      <c r="M7" s="27"/>
      <c r="N7" s="27"/>
      <c r="O7" s="10">
        <v>3</v>
      </c>
      <c r="P7" s="17" t="s">
        <v>7</v>
      </c>
      <c r="Q7" s="17" t="s">
        <v>8</v>
      </c>
      <c r="R7" s="11">
        <v>4</v>
      </c>
      <c r="S7" s="17" t="s">
        <v>9</v>
      </c>
      <c r="T7" s="2" t="s">
        <v>54</v>
      </c>
      <c r="U7" s="12">
        <v>0.65</v>
      </c>
    </row>
    <row r="8" spans="2:22" x14ac:dyDescent="0.3">
      <c r="B8" s="29"/>
      <c r="C8" s="33" t="s">
        <v>73</v>
      </c>
      <c r="D8" s="34" t="s">
        <v>61</v>
      </c>
      <c r="E8" s="34">
        <v>4</v>
      </c>
      <c r="F8" s="35">
        <v>20</v>
      </c>
      <c r="G8" s="29"/>
      <c r="O8" s="10">
        <v>4</v>
      </c>
      <c r="P8" s="17" t="s">
        <v>10</v>
      </c>
      <c r="Q8" s="17" t="s">
        <v>2</v>
      </c>
      <c r="R8" s="11">
        <v>2</v>
      </c>
      <c r="S8" s="17" t="s">
        <v>11</v>
      </c>
      <c r="T8" s="2" t="s">
        <v>47</v>
      </c>
      <c r="U8" s="12">
        <v>0.45</v>
      </c>
    </row>
    <row r="9" spans="2:22" x14ac:dyDescent="0.3">
      <c r="B9" s="29"/>
      <c r="C9" s="33" t="s">
        <v>74</v>
      </c>
      <c r="D9" s="34" t="s">
        <v>62</v>
      </c>
      <c r="E9" s="34">
        <v>7</v>
      </c>
      <c r="F9" s="35">
        <v>15.4</v>
      </c>
      <c r="G9" s="29"/>
      <c r="L9" s="22"/>
      <c r="O9" s="10">
        <v>5</v>
      </c>
      <c r="P9" s="17" t="s">
        <v>12</v>
      </c>
      <c r="Q9" s="17" t="s">
        <v>5</v>
      </c>
      <c r="R9" s="11">
        <v>4</v>
      </c>
      <c r="S9" s="17" t="s">
        <v>13</v>
      </c>
      <c r="T9" s="2" t="s">
        <v>46</v>
      </c>
      <c r="U9" s="12">
        <v>0.22</v>
      </c>
    </row>
    <row r="10" spans="2:22" x14ac:dyDescent="0.3">
      <c r="B10" s="29"/>
      <c r="C10" s="33" t="s">
        <v>76</v>
      </c>
      <c r="D10" s="34" t="s">
        <v>63</v>
      </c>
      <c r="E10" s="34">
        <v>5</v>
      </c>
      <c r="F10" s="35">
        <v>20</v>
      </c>
      <c r="G10" s="29"/>
      <c r="O10" s="10">
        <v>6</v>
      </c>
      <c r="P10" s="17" t="s">
        <v>14</v>
      </c>
      <c r="Q10" s="17" t="s">
        <v>15</v>
      </c>
      <c r="R10" s="11">
        <v>4</v>
      </c>
      <c r="S10" s="17" t="s">
        <v>16</v>
      </c>
      <c r="T10" s="2" t="s">
        <v>48</v>
      </c>
      <c r="U10" s="12">
        <v>0.66</v>
      </c>
    </row>
    <row r="11" spans="2:22" x14ac:dyDescent="0.3">
      <c r="B11" s="29"/>
      <c r="C11" s="33" t="s">
        <v>16</v>
      </c>
      <c r="D11" s="34" t="s">
        <v>64</v>
      </c>
      <c r="E11" s="34">
        <v>4</v>
      </c>
      <c r="F11" s="35">
        <v>32.4</v>
      </c>
      <c r="G11" s="29"/>
      <c r="O11" s="10">
        <v>7</v>
      </c>
      <c r="P11" s="17" t="s">
        <v>17</v>
      </c>
      <c r="Q11" s="17" t="s">
        <v>18</v>
      </c>
      <c r="R11" s="11">
        <v>1</v>
      </c>
      <c r="S11" s="17" t="s">
        <v>19</v>
      </c>
      <c r="T11" s="11"/>
      <c r="U11" s="12"/>
    </row>
    <row r="12" spans="2:22" x14ac:dyDescent="0.3">
      <c r="B12" s="29"/>
      <c r="C12" s="33" t="s">
        <v>22</v>
      </c>
      <c r="D12" s="34" t="s">
        <v>65</v>
      </c>
      <c r="E12" s="34">
        <v>11</v>
      </c>
      <c r="F12" s="35">
        <v>20.9</v>
      </c>
      <c r="G12" s="29"/>
      <c r="O12" s="10">
        <v>8</v>
      </c>
      <c r="P12" s="17" t="s">
        <v>20</v>
      </c>
      <c r="Q12" s="17" t="s">
        <v>21</v>
      </c>
      <c r="R12" s="11">
        <v>2</v>
      </c>
      <c r="S12" s="17" t="s">
        <v>22</v>
      </c>
      <c r="T12" s="2" t="s">
        <v>49</v>
      </c>
      <c r="U12" s="12">
        <v>0.82</v>
      </c>
    </row>
    <row r="13" spans="2:22" x14ac:dyDescent="0.3">
      <c r="B13" s="29"/>
      <c r="C13" s="33" t="s">
        <v>77</v>
      </c>
      <c r="D13" s="34" t="s">
        <v>66</v>
      </c>
      <c r="E13" s="34">
        <v>5</v>
      </c>
      <c r="F13" s="35">
        <v>15</v>
      </c>
      <c r="G13" s="29"/>
      <c r="O13" s="10">
        <v>9</v>
      </c>
      <c r="P13" s="17" t="s">
        <v>23</v>
      </c>
      <c r="Q13" s="17" t="s">
        <v>5</v>
      </c>
      <c r="R13" s="11">
        <v>2</v>
      </c>
      <c r="S13" s="17" t="s">
        <v>24</v>
      </c>
      <c r="T13" s="2" t="s">
        <v>53</v>
      </c>
      <c r="U13" s="12">
        <v>0.22</v>
      </c>
    </row>
    <row r="14" spans="2:22" x14ac:dyDescent="0.3">
      <c r="B14" s="29"/>
      <c r="C14" s="33" t="s">
        <v>78</v>
      </c>
      <c r="D14" s="34" t="s">
        <v>67</v>
      </c>
      <c r="E14" s="34">
        <v>3</v>
      </c>
      <c r="F14" s="35">
        <v>27.26</v>
      </c>
      <c r="G14" s="51" t="s">
        <v>80</v>
      </c>
      <c r="H14" s="38"/>
      <c r="O14" s="10">
        <v>10</v>
      </c>
      <c r="P14" s="17" t="s">
        <v>25</v>
      </c>
      <c r="Q14" s="17" t="s">
        <v>26</v>
      </c>
      <c r="R14" s="11">
        <v>1</v>
      </c>
      <c r="S14" s="17" t="s">
        <v>27</v>
      </c>
      <c r="T14" s="2" t="s">
        <v>52</v>
      </c>
      <c r="U14" s="12">
        <v>0.56999999999999995</v>
      </c>
    </row>
    <row r="15" spans="2:22" ht="15" thickBot="1" x14ac:dyDescent="0.35">
      <c r="B15" s="29"/>
      <c r="C15" s="36" t="s">
        <v>87</v>
      </c>
      <c r="D15" s="31"/>
      <c r="E15" s="31"/>
      <c r="F15" s="37">
        <v>69</v>
      </c>
      <c r="G15" s="29"/>
      <c r="H15" s="29"/>
      <c r="O15" s="10">
        <v>11</v>
      </c>
      <c r="P15" s="17" t="s">
        <v>28</v>
      </c>
      <c r="Q15" s="17" t="s">
        <v>18</v>
      </c>
      <c r="R15" s="11">
        <v>1</v>
      </c>
      <c r="S15" s="17" t="s">
        <v>29</v>
      </c>
      <c r="T15" s="2" t="s">
        <v>50</v>
      </c>
      <c r="U15" s="12">
        <v>0.5</v>
      </c>
    </row>
    <row r="16" spans="2:22" ht="15" thickBot="1" x14ac:dyDescent="0.35">
      <c r="B16" s="29"/>
      <c r="D16" s="29"/>
      <c r="E16" s="52" t="s">
        <v>79</v>
      </c>
      <c r="F16" s="53">
        <f>SUM(F6:F15)</f>
        <v>323.96000000000004</v>
      </c>
      <c r="G16" s="29"/>
      <c r="H16" s="32" t="s">
        <v>88</v>
      </c>
      <c r="O16" s="10">
        <v>12</v>
      </c>
      <c r="P16" s="17" t="s">
        <v>30</v>
      </c>
      <c r="Q16" s="17" t="s">
        <v>31</v>
      </c>
      <c r="R16" s="11">
        <v>1</v>
      </c>
      <c r="S16" s="17" t="s">
        <v>32</v>
      </c>
      <c r="T16" s="2" t="s">
        <v>51</v>
      </c>
      <c r="U16" s="12">
        <v>0.62</v>
      </c>
    </row>
    <row r="17" spans="2:21" ht="15" thickBot="1" x14ac:dyDescent="0.35">
      <c r="B17" s="29"/>
      <c r="D17" s="29"/>
      <c r="E17" s="29"/>
      <c r="F17" s="29"/>
      <c r="G17" s="43"/>
      <c r="H17" s="47" t="s">
        <v>83</v>
      </c>
      <c r="I17" s="44" t="s">
        <v>84</v>
      </c>
      <c r="J17" s="45"/>
      <c r="K17" s="39"/>
      <c r="O17" s="10">
        <v>13</v>
      </c>
      <c r="P17" s="17"/>
      <c r="Q17" s="17" t="s">
        <v>38</v>
      </c>
      <c r="R17" s="11">
        <v>1</v>
      </c>
      <c r="S17" s="17"/>
      <c r="T17" s="11"/>
      <c r="U17" s="12">
        <v>3</v>
      </c>
    </row>
    <row r="18" spans="2:21" ht="15" thickBot="1" x14ac:dyDescent="0.35">
      <c r="B18" s="29"/>
      <c r="C18" s="29"/>
      <c r="D18" s="29"/>
      <c r="E18" s="29"/>
      <c r="F18" s="29"/>
      <c r="G18" s="42" t="s">
        <v>85</v>
      </c>
      <c r="H18" s="32" t="s">
        <v>89</v>
      </c>
      <c r="I18" s="39"/>
      <c r="J18" s="39"/>
      <c r="K18" s="39"/>
      <c r="O18" s="10">
        <v>14</v>
      </c>
      <c r="P18" s="17"/>
      <c r="Q18" s="17" t="s">
        <v>39</v>
      </c>
      <c r="R18" s="11">
        <v>1</v>
      </c>
      <c r="S18" s="17"/>
      <c r="T18" s="11"/>
      <c r="U18" s="12">
        <v>10.199999999999999</v>
      </c>
    </row>
    <row r="19" spans="2:21" ht="16.2" thickBot="1" x14ac:dyDescent="0.35">
      <c r="B19" s="29"/>
      <c r="C19" s="29"/>
      <c r="D19" s="29"/>
      <c r="E19" s="30"/>
      <c r="F19" s="48" t="s">
        <v>86</v>
      </c>
      <c r="G19" s="49"/>
      <c r="H19" s="50" t="s">
        <v>90</v>
      </c>
      <c r="I19" s="46"/>
      <c r="J19" s="39"/>
      <c r="K19" s="39"/>
      <c r="O19" s="13">
        <v>15</v>
      </c>
      <c r="P19" s="18"/>
      <c r="Q19" s="18" t="s">
        <v>40</v>
      </c>
      <c r="R19" s="14">
        <v>1</v>
      </c>
      <c r="S19" s="18" t="s">
        <v>41</v>
      </c>
      <c r="T19" s="14"/>
      <c r="U19" s="15">
        <v>4.24</v>
      </c>
    </row>
    <row r="20" spans="2:21" ht="15" thickBot="1" x14ac:dyDescent="0.35">
      <c r="E20" s="24"/>
      <c r="F20" s="25"/>
      <c r="G20" s="25"/>
      <c r="H20" s="46"/>
      <c r="I20" s="46"/>
      <c r="J20" s="39"/>
      <c r="K20" s="39"/>
      <c r="T20" s="23" t="s">
        <v>55</v>
      </c>
      <c r="U20" s="26">
        <f>SUM(U5:U19)</f>
        <v>24.490000000000002</v>
      </c>
    </row>
    <row r="21" spans="2:21" x14ac:dyDescent="0.3">
      <c r="E21" s="24"/>
      <c r="F21" s="24"/>
      <c r="G21" s="24"/>
      <c r="H21" s="24"/>
      <c r="I21" s="24"/>
      <c r="O21" s="28" t="s">
        <v>56</v>
      </c>
      <c r="P21" s="28"/>
      <c r="Q21" s="28"/>
      <c r="R21" s="28"/>
      <c r="S21" s="28"/>
      <c r="T21" s="28"/>
      <c r="U21" s="28"/>
    </row>
    <row r="22" spans="2:21" x14ac:dyDescent="0.3">
      <c r="O22" s="28" t="s">
        <v>57</v>
      </c>
      <c r="P22" s="28"/>
      <c r="Q22" s="28"/>
      <c r="R22" s="28"/>
      <c r="S22" s="28"/>
      <c r="T22" s="28"/>
      <c r="U22" s="28"/>
    </row>
    <row r="23" spans="2:21" x14ac:dyDescent="0.3">
      <c r="O23" s="28" t="s">
        <v>58</v>
      </c>
      <c r="P23" s="28"/>
      <c r="Q23" s="28"/>
      <c r="R23" s="28"/>
      <c r="S23" s="28"/>
      <c r="T23" s="28"/>
      <c r="U23" s="28"/>
    </row>
    <row r="40" spans="6:7" x14ac:dyDescent="0.3">
      <c r="F40" s="39" t="s">
        <v>91</v>
      </c>
      <c r="G40" s="39"/>
    </row>
  </sheetData>
  <mergeCells count="3">
    <mergeCell ref="G14:H14"/>
    <mergeCell ref="C4:F4"/>
    <mergeCell ref="F19:G19"/>
  </mergeCells>
  <hyperlinks>
    <hyperlink ref="T6" r:id="rId1" tooltip="C2907218" display="https://www.lcsc.com/product-detail/C2907218.html?s_z=n_q_t_resistor&amp;spm=wm.fly.bg.1.cbh___wm.ssy.tc.0.tz&amp;lcsc_vid=FlddVwdQFVVeXgVeQ1MIX1AHFgBXVV0HFFhdVAUEFAQxVlNeR1JdVVRWQlFZVDsOAxUeFF5JWBYZEEoKFBINSQcJGk4eFQsCAgIaSgADAwAHC0slRVdWV1xRT08GEwkK" xr:uid="{ABA3C46B-0E14-4931-9C97-F0059A9A23E5}"/>
    <hyperlink ref="T5" r:id="rId2" tooltip="C2680878" display="https://www.lcsc.com/product-detail/C2680878.html?s_z=n_q_IRLZ44N&amp;spm=wm.fly.bg.0.cbh&amp;lcsc_vid=FlddVwdQFVVeXgVeQ1MIX1AHFgBXVV0HFFhdVAUEFAQxVlNeR1JdVl1URVlZXjsOAxUeFF5JWBYZEEoKFBINSQcJGk4NBhYS" xr:uid="{37C59382-EA1B-4FAB-AF65-4471FC6C0844}"/>
    <hyperlink ref="T8" r:id="rId3" tooltip="C41430593" display="https://www.lcsc.com/product-detail/C41430593.html?s_z=n_q_IRFR9024N&amp;spm=wm.fly.bg.2.cbh&amp;lcsc_vid=FlddVwdQFVVeXgVeQ1MIX1AHFgBXVV0HFFhdVAUEFAQxVlNeR1JdVVZST1NfUzsOAxUeFF5JWBYZEEoKFBINSQcJGk4NBhADEA4cHktXRlhXSQwSGg0%3D" xr:uid="{54FEA649-7EA3-40DB-B93F-D1F09D6CDC6C}"/>
    <hyperlink ref="T10" r:id="rId4" display="https://www.lcsc.com/product-detail/C908680.html?s_z=n_q_C908680&amp;globalKeyword=C908680" xr:uid="{F9D571C2-6120-4F8C-8653-534B60470F17}"/>
    <hyperlink ref="T12" r:id="rId5" tooltip="C57668" display="https://www.lcsc.com/product-detail/C57668.html?s_z=n_q_t_transistor&amp;spm=wm.fly.bg.0.cbh___wm.ssy.tc.0.tz&amp;lcsc_vid=FlddVwdQFVVeXgVeQ1MIX1AHFgBXVV0HFFhdVAUEFAQxVlNeR1JdU11STlReVzsOAxUeFF5JWBYZEEoKFBINSQcJGk4eFQsCAgIaSgADAwAHC0slRFBXUl1eQ08GEwkK" xr:uid="{ADDF6778-BCFA-4E8C-92F8-7443E1DDA984}"/>
    <hyperlink ref="T15" r:id="rId6" display="https://www.lcsc.com/product-detail/Screw-terminal_Cixi-Kefa-Elec-KF301-5-0-2P_C474881.html" xr:uid="{839C5441-F095-4CC4-A1FB-FAA59604A2B4}"/>
    <hyperlink ref="T16" r:id="rId7" tooltip="C52016392" display="https://www.lcsc.com/product-detail/C52016392.html?s_z=n_q_p_pin%2520header%25201%2A4&amp;spm=wm.ssy.bg.4.cbh&amp;lcsc_vid=FlddVwdQFVVeXgVeQ1MIX1AHFgBXVV0HFFhdVAUEFAQxVlNeR1JdUlZTT1heVzsOAxUeFF5JWBYZEEoKFBINSQcJGk4dAgUUFAk%3D" xr:uid="{ADC4B40F-186E-4286-8C37-22E02A042098}"/>
    <hyperlink ref="T14" r:id="rId8" tooltip="C72518" display="https://www.lcsc.com/product-detail/C72518.html?s_z=n_q_t_capacitor&amp;spm=wm.fly.bg.3.cbh___wm.ssy.tc.0.tz&amp;lcsc_vid=FlddVwdQFVVeXgVeQ1MIX1AHFgBXVV0HFFhdVAUEFAQxVlNeR1JdUlJfQ1lcUTsOAxUeFF5JWBYZEEoKFBINSQcJGk4NBhADEA4cHktXRVJADxALGw%3D%3D" xr:uid="{7FED5553-2F44-49DD-9FCF-439829711813}"/>
    <hyperlink ref="T13" r:id="rId9" tooltip="C2907232" display="https://www.lcsc.com/product-detail/C2907232.html?s_z=n_q_t_resistor&amp;spm=wm.fly.bg.0.cbh___wm.ssy.tc.0.tz&amp;lcsc_vid=FlddVwdQFVVeXgVeQ1MIX1AHFgBXVV0HFFhdVAUEFAQxVlNeR1JdUlxeRldXUDsOAxUeFF5JWBYZEEoKFBINSQcJGk4NBhADEA4cHktXRlVeSQwSGg0%3D" xr:uid="{FEE1957E-87AF-4366-A967-0EF106FFFDCD}"/>
    <hyperlink ref="T9" r:id="rId10" tooltip="C2907219" display="https://www.lcsc.com/product-detail/C2907219.html?s_z=n_q_t_resistor&amp;spm=wm.fly.bg.0.cbh___wm.ssy.tc.0.tz&amp;lcsc_vid=FlddVwdQFVVeXgVeQ1MIX1AHFgBXVV0HFFhdVAUEFAQxVlNeR1JdUlxeRldXUDsOAxUeFF5JWBYZEEoKFBINSQcJGk4NBhADEA4cHktXRlVeSQwSGg0%3D" xr:uid="{BE0CA364-A45D-41D8-8F2F-A56A52A77DE7}"/>
    <hyperlink ref="T7" r:id="rId11" tooltip="C49678" display="https://www.lcsc.com/product-detail/C49678.html?s_z=n_q_t_capacitor&amp;spm=wm.fly.bg.0.cbh___wm.ssy.tc.2.tz&amp;lcsc_vid=FlddVwdQFVVeXgVeQ1MIX1AHFgBXVV0HFFhdVAUEFAQxVlNeR1JaVlJRR1ZWXjsOAxUeFF5JWBYZEEoKFBINSQcJGk4NBhYS" xr:uid="{63FFB1EF-115C-4740-A375-68268735C90B}"/>
  </hyperlinks>
  <pageMargins left="0.7" right="0.7" top="0.78740157499999996" bottom="0.78740157499999996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H Bridge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vojto</dc:creator>
  <cp:lastModifiedBy>kubena ondrej</cp:lastModifiedBy>
  <dcterms:created xsi:type="dcterms:W3CDTF">2026-06-01T16:32:39Z</dcterms:created>
  <dcterms:modified xsi:type="dcterms:W3CDTF">2026-08-19T08:23:02Z</dcterms:modified>
</cp:coreProperties>
</file>