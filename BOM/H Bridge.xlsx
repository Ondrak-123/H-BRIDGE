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jto\Downloads\"/>
    </mc:Choice>
  </mc:AlternateContent>
  <xr:revisionPtr revIDLastSave="0" documentId="13_ncr:1_{C7D24F0A-3976-4A6B-93AE-3A83AB7809D8}" xr6:coauthVersionLast="47" xr6:coauthVersionMax="47" xr10:uidLastSave="{00000000-0000-0000-0000-000000000000}"/>
  <bookViews>
    <workbookView xWindow="-108" yWindow="-108" windowWidth="23256" windowHeight="12456" xr2:uid="{060EC0F2-E01F-447B-8195-8C34DD311617}"/>
  </bookViews>
  <sheets>
    <sheet name="H Brid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</calcChain>
</file>

<file path=xl/sharedStrings.xml><?xml version="1.0" encoding="utf-8"?>
<sst xmlns="http://schemas.openxmlformats.org/spreadsheetml/2006/main" count="67" uniqueCount="63">
  <si>
    <t>Id</t>
  </si>
  <si>
    <t>Q6,Q3</t>
  </si>
  <si>
    <t>TO-252-2</t>
  </si>
  <si>
    <t>IRLZ44N</t>
  </si>
  <si>
    <t>R4,R6</t>
  </si>
  <si>
    <t>R_0805_2012Metric</t>
  </si>
  <si>
    <t>100R</t>
  </si>
  <si>
    <t>C3,C2,C5,C4</t>
  </si>
  <si>
    <t>C_0805_2012Metric</t>
  </si>
  <si>
    <t>100nF</t>
  </si>
  <si>
    <t>Q5,Q1</t>
  </si>
  <si>
    <t>IRFR9024N</t>
  </si>
  <si>
    <t>R8,R3,R2,R7</t>
  </si>
  <si>
    <t>10K</t>
  </si>
  <si>
    <t>D3,D4,D1,D2</t>
  </si>
  <si>
    <t>D_SMA</t>
  </si>
  <si>
    <t>SS34</t>
  </si>
  <si>
    <t>M1</t>
  </si>
  <si>
    <t>JST_NV_B02P-NV_1x02_P5.00mm_Vertical</t>
  </si>
  <si>
    <t>Motor_DC</t>
  </si>
  <si>
    <t>Q2,Q4</t>
  </si>
  <si>
    <t>SOT-23</t>
  </si>
  <si>
    <t>BC847</t>
  </si>
  <si>
    <t>R5,R1</t>
  </si>
  <si>
    <t>1K</t>
  </si>
  <si>
    <t>C1</t>
  </si>
  <si>
    <t>CP_Elec_10x10</t>
  </si>
  <si>
    <t>470uF</t>
  </si>
  <si>
    <t>J1</t>
  </si>
  <si>
    <t>PWR_IN</t>
  </si>
  <si>
    <t>J2</t>
  </si>
  <si>
    <t>PinHeader_1x04_P2.54mm_Vertical</t>
  </si>
  <si>
    <t>LOGIC_IN</t>
  </si>
  <si>
    <t>Symbol</t>
  </si>
  <si>
    <t>Footprint</t>
  </si>
  <si>
    <t>Quantity</t>
  </si>
  <si>
    <t>Description</t>
  </si>
  <si>
    <t>LCSC ID</t>
  </si>
  <si>
    <t>LCSC Handling fee</t>
  </si>
  <si>
    <t>LCSC Shipping</t>
  </si>
  <si>
    <t>JLCPCB PCB</t>
  </si>
  <si>
    <t>PCB</t>
  </si>
  <si>
    <t>The whole LCSC cart can be downloaded on GitHub. (To check all the prices and links).</t>
  </si>
  <si>
    <t>USD Price</t>
  </si>
  <si>
    <t>C2680878</t>
  </si>
  <si>
    <t>C2907218</t>
  </si>
  <si>
    <t>C2907219</t>
  </si>
  <si>
    <t>C41430593</t>
  </si>
  <si>
    <t>C908680</t>
  </si>
  <si>
    <t>C57668</t>
  </si>
  <si>
    <t>C474881</t>
  </si>
  <si>
    <t>C52016392</t>
  </si>
  <si>
    <t>C72518</t>
  </si>
  <si>
    <t>C2907232</t>
  </si>
  <si>
    <t>C49678</t>
  </si>
  <si>
    <t xml:space="preserve">Since 1. July 2026 there will be a new Category Flat Fee, affecting all EU residents, for each category  (HS Code) of items there will be a flat </t>
  </si>
  <si>
    <t>fee of 3€, the HS Codes for this package are: HS 8541, HS 8533, HS 8532, HS 8534,  8536 which is 5*3€ or 15€. This fee will be added when</t>
  </si>
  <si>
    <t xml:space="preserve">checking out (starting on 1.7.2026) automatically. But if I order a package on the 20.6. and the package will arrive to the borders in July I will </t>
  </si>
  <si>
    <t>still need to pay the fees.</t>
  </si>
  <si>
    <t>Item Total:</t>
  </si>
  <si>
    <t>´+18 USD</t>
  </si>
  <si>
    <t>FEES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</si>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</sst>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4.9989318521683403E-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1" fillId="11" borderId="0" xfId="20"/>
    <xf numFmtId="0" fontId="1" fillId="11" borderId="10" xfId="20" applyBorder="1"/>
    <xf numFmtId="0" fontId="17" fillId="9" borderId="20" xfId="18" applyBorder="1"/>
    <xf numFmtId="0" fontId="17" fillId="9" borderId="11" xfId="18" applyBorder="1"/>
    <xf numFmtId="0" fontId="17" fillId="9" borderId="21" xfId="18" applyBorder="1"/>
    <xf numFmtId="0" fontId="17" fillId="9" borderId="22" xfId="18" applyBorder="1"/>
    <xf numFmtId="0" fontId="1" fillId="11" borderId="17" xfId="20" applyBorder="1" applyAlignment="1">
      <alignment horizontal="center" vertical="center"/>
    </xf>
    <xf numFmtId="0" fontId="1" fillId="11" borderId="18" xfId="20" applyBorder="1" applyAlignment="1">
      <alignment horizontal="center" vertical="center"/>
    </xf>
    <xf numFmtId="2" fontId="1" fillId="11" borderId="19" xfId="20" applyNumberFormat="1" applyBorder="1" applyAlignment="1">
      <alignment horizontal="center" vertical="center"/>
    </xf>
    <xf numFmtId="0" fontId="1" fillId="11" borderId="12" xfId="20" applyBorder="1" applyAlignment="1">
      <alignment horizontal="center" vertical="center"/>
    </xf>
    <xf numFmtId="0" fontId="1" fillId="11" borderId="10" xfId="20" applyBorder="1" applyAlignment="1">
      <alignment horizontal="center" vertical="center"/>
    </xf>
    <xf numFmtId="2" fontId="1" fillId="11" borderId="13" xfId="20" applyNumberFormat="1" applyBorder="1" applyAlignment="1">
      <alignment horizontal="center" vertical="center"/>
    </xf>
    <xf numFmtId="0" fontId="1" fillId="11" borderId="14" xfId="20" applyBorder="1" applyAlignment="1">
      <alignment horizontal="center" vertical="center"/>
    </xf>
    <xf numFmtId="0" fontId="1" fillId="11" borderId="15" xfId="20" applyBorder="1" applyAlignment="1">
      <alignment horizontal="center" vertical="center"/>
    </xf>
    <xf numFmtId="2" fontId="1" fillId="11" borderId="16" xfId="20" applyNumberFormat="1" applyBorder="1" applyAlignment="1">
      <alignment horizontal="center" vertical="center"/>
    </xf>
    <xf numFmtId="0" fontId="1" fillId="11" borderId="18" xfId="20" applyBorder="1" applyAlignment="1">
      <alignment horizontal="left" vertical="center"/>
    </xf>
    <xf numFmtId="0" fontId="1" fillId="11" borderId="10" xfId="20" applyBorder="1" applyAlignment="1">
      <alignment horizontal="left" vertical="center"/>
    </xf>
    <xf numFmtId="0" fontId="1" fillId="11" borderId="15" xfId="20" applyBorder="1" applyAlignment="1">
      <alignment horizontal="left" vertical="center"/>
    </xf>
    <xf numFmtId="0" fontId="17" fillId="17" borderId="20" xfId="26" applyBorder="1"/>
    <xf numFmtId="0" fontId="17" fillId="17" borderId="21" xfId="26" applyBorder="1"/>
    <xf numFmtId="0" fontId="17" fillId="17" borderId="22" xfId="26" applyBorder="1"/>
    <xf numFmtId="2" fontId="0" fillId="0" borderId="0" xfId="0" applyNumberFormat="1"/>
    <xf numFmtId="0" fontId="18" fillId="9" borderId="20" xfId="18" applyFont="1" applyBorder="1"/>
    <xf numFmtId="0" fontId="20" fillId="33" borderId="7" xfId="13" applyFont="1" applyFill="1"/>
    <xf numFmtId="2" fontId="18" fillId="9" borderId="23" xfId="18" applyNumberFormat="1" applyFont="1" applyBorder="1"/>
    <xf numFmtId="0" fontId="14" fillId="33" borderId="24" xfId="0" applyFont="1" applyFill="1" applyBorder="1"/>
    <xf numFmtId="0" fontId="19" fillId="33" borderId="20" xfId="18" applyFont="1" applyFill="1" applyBorder="1"/>
    <xf numFmtId="0" fontId="19" fillId="33" borderId="22" xfId="18" applyFont="1" applyFill="1" applyBorder="1"/>
    <xf numFmtId="0" fontId="19" fillId="33" borderId="22" xfId="0" applyFont="1" applyFill="1" applyBorder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99060</xdr:colOff>
      <xdr:row>8</xdr:row>
      <xdr:rowOff>60960</xdr:rowOff>
    </xdr:from>
    <xdr:to>
      <xdr:col>14</xdr:col>
      <xdr:colOff>421392</xdr:colOff>
      <xdr:row>22</xdr:row>
      <xdr:rowOff>177640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3D16E5C9-83C0-6EB0-711C-83B263364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1615440"/>
          <a:ext cx="2760732" cy="2715100"/>
        </a:xfrm>
        <a:prstGeom prst="rect">
          <a:avLst/>
        </a:prstGeom>
      </xdr:spPr>
    </xdr:pic>
    <xdr:clientData/>
  </xdr:twoCellAnchor>
  <xdr:twoCellAnchor editAs="oneCell">
    <xdr:from>
      <xdr:col>14</xdr:col>
      <xdr:colOff>419100</xdr:colOff>
      <xdr:row>9</xdr:row>
      <xdr:rowOff>129540</xdr:rowOff>
    </xdr:from>
    <xdr:to>
      <xdr:col>18</xdr:col>
      <xdr:colOff>535534</xdr:colOff>
      <xdr:row>23</xdr:row>
      <xdr:rowOff>45720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DBFFDC77-02C3-4BB8-B3E7-C8D7312FE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83240" y="1866900"/>
          <a:ext cx="2554834" cy="2514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C72518.html?s_z=n_q_t_capacitor&amp;spm=wm.fly.bg.3.cbh___wm.ssy.tc.0.tz&amp;lcsc_vid=FlddVwdQFVVeXgVeQ1MIX1AHFgBXVV0HFFhdVAUEFAQxVlNeR1JdUlJfQ1lcUTsOAxUeFF5JWBYZEEoKFBINSQcJGk4NBhADEA4cHktXRVJADxALGw%3D%3D" TargetMode="External"/><Relationship Id="rId3" Type="http://schemas.openxmlformats.org/officeDocument/2006/relationships/hyperlink" Target="https://www.lcsc.com/product-detail/C41430593.html?s_z=n_q_IRFR9024N&amp;spm=wm.fly.bg.2.cbh&amp;lcsc_vid=FlddVwdQFVVeXgVeQ1MIX1AHFgBXVV0HFFhdVAUEFAQxVlNeR1JdVVZST1NfUzsOAxUeFF5JWBYZEEoKFBINSQcJGk4NBhADEA4cHktXRlhXSQwSGg0%3D" TargetMode="External"/><Relationship Id="rId7" Type="http://schemas.openxmlformats.org/officeDocument/2006/relationships/hyperlink" Target="https://www.lcsc.com/product-detail/C52016392.html?s_z=n_q_p_pin%2520header%25201%2A4&amp;spm=wm.ssy.bg.4.cbh&amp;lcsc_vid=FlddVwdQFVVeXgVeQ1MIX1AHFgBXVV0HFFhdVAUEFAQxVlNeR1JdUlZTT1heVzsOAxUeFF5JWBYZEEoKFBINSQcJGk4dAgUUFAk%3D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https://www.lcsc.com/product-detail/C2680878.html?s_z=n_q_IRLZ44N&amp;spm=wm.fly.bg.0.cbh&amp;lcsc_vid=FlddVwdQFVVeXgVeQ1MIX1AHFgBXVV0HFFhdVAUEFAQxVlNeR1JdVl1URVlZXjsOAxUeFF5JWBYZEEoKFBINSQcJGk4NBhYS" TargetMode="External"/><Relationship Id="rId1" Type="http://schemas.openxmlformats.org/officeDocument/2006/relationships/hyperlink" Target="https://www.lcsc.com/product-detail/C2907218.html?s_z=n_q_t_resistor&amp;spm=wm.fly.bg.1.cbh___wm.ssy.tc.0.tz&amp;lcsc_vid=FlddVwdQFVVeXgVeQ1MIX1AHFgBXVV0HFFhdVAUEFAQxVlNeR1JdVVRWQlFZVDsOAxUeFF5JWBYZEEoKFBINSQcJGk4eFQsCAgIaSgADAwAHC0slRVdWV1xRT08GEwkK" TargetMode="External"/><Relationship Id="rId6" Type="http://schemas.openxmlformats.org/officeDocument/2006/relationships/hyperlink" Target="https://www.lcsc.com/product-detail/Screw-terminal_Cixi-Kefa-Elec-KF301-5-0-2P_C474881.html" TargetMode="External"/><Relationship Id="rId11" Type="http://schemas.openxmlformats.org/officeDocument/2006/relationships/hyperlink" Target="https://www.lcsc.com/product-detail/C49678.html?s_z=n_q_t_capacitor&amp;spm=wm.fly.bg.0.cbh___wm.ssy.tc.2.tz&amp;lcsc_vid=FlddVwdQFVVeXgVeQ1MIX1AHFgBXVV0HFFhdVAUEFAQxVlNeR1JaVlJRR1ZWXjsOAxUeFF5JWBYZEEoKFBINSQcJGk4NBhYS" TargetMode="External"/><Relationship Id="rId5" Type="http://schemas.openxmlformats.org/officeDocument/2006/relationships/hyperlink" Target="https://www.lcsc.com/product-detail/C57668.html?s_z=n_q_t_transistor&amp;spm=wm.fly.bg.0.cbh___wm.ssy.tc.0.tz&amp;lcsc_vid=FlddVwdQFVVeXgVeQ1MIX1AHFgBXVV0HFFhdVAUEFAQxVlNeR1JdU11STlReVzsOAxUeFF5JWBYZEEoKFBINSQcJGk4eFQsCAgIaSgADAwAHC0slRFBXUl1eQ08GEwkK" TargetMode="External"/><Relationship Id="rId10" Type="http://schemas.openxmlformats.org/officeDocument/2006/relationships/hyperlink" Target="https://www.lcsc.com/product-detail/C2907219.html?s_z=n_q_t_resistor&amp;spm=wm.fly.bg.0.cbh___wm.ssy.tc.0.tz&amp;lcsc_vid=FlddVwdQFVVeXgVeQ1MIX1AHFgBXVV0HFFhdVAUEFAQxVlNeR1JdUlxeRldXUDsOAxUeFF5JWBYZEEoKFBINSQcJGk4NBhADEA4cHktXRlVeSQwSGg0%3D" TargetMode="External"/><Relationship Id="rId4" Type="http://schemas.openxmlformats.org/officeDocument/2006/relationships/hyperlink" Target="https://www.lcsc.com/product-detail/C908680.html?s_z=n_q_C908680&amp;globalKeyword=C908680" TargetMode="External"/><Relationship Id="rId9" Type="http://schemas.openxmlformats.org/officeDocument/2006/relationships/hyperlink" Target="https://www.lcsc.com/product-detail/C2907232.html?s_z=n_q_t_resistor&amp;spm=wm.fly.bg.0.cbh___wm.ssy.tc.0.tz&amp;lcsc_vid=FlddVwdQFVVeXgVeQ1MIX1AHFgBXVV0HFFhdVAUEFAQxVlNeR1JdUlxeRldXUDsOAxUeFF5JWBYZEEoKFBINSQcJGk4NBhADEA4cHktXRlVeSQwSGg0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FE20-B05D-4C19-A5DC-EC299403E461}">
  <dimension ref="A1:U20"/>
  <sheetViews>
    <sheetView tabSelected="1" zoomScale="95" zoomScaleNormal="95" workbookViewId="0">
      <selection activeCell="F27" sqref="F27"/>
    </sheetView>
  </sheetViews>
  <sheetFormatPr defaultRowHeight="14.4" x14ac:dyDescent="0.3"/>
  <cols>
    <col min="1" max="1" width="4.5546875" customWidth="1"/>
    <col min="2" max="2" width="20.77734375" customWidth="1"/>
    <col min="3" max="3" width="17.6640625" customWidth="1"/>
    <col min="5" max="5" width="16.5546875" customWidth="1"/>
    <col min="6" max="6" width="10.109375" customWidth="1"/>
    <col min="21" max="21" width="8" customWidth="1"/>
  </cols>
  <sheetData>
    <row r="1" spans="1:21" ht="15" thickBot="1" x14ac:dyDescent="0.35">
      <c r="A1" s="3" t="s">
        <v>0</v>
      </c>
      <c r="B1" s="4" t="s">
        <v>33</v>
      </c>
      <c r="C1" s="5" t="s">
        <v>34</v>
      </c>
      <c r="D1" s="4" t="s">
        <v>35</v>
      </c>
      <c r="E1" s="5" t="s">
        <v>36</v>
      </c>
      <c r="F1" s="4" t="s">
        <v>37</v>
      </c>
      <c r="G1" s="6" t="s">
        <v>43</v>
      </c>
    </row>
    <row r="2" spans="1:21" ht="15" thickBot="1" x14ac:dyDescent="0.35">
      <c r="A2" s="7">
        <v>1</v>
      </c>
      <c r="B2" s="16" t="s">
        <v>1</v>
      </c>
      <c r="C2" s="16" t="s">
        <v>2</v>
      </c>
      <c r="D2" s="8">
        <v>2</v>
      </c>
      <c r="E2" s="16" t="s">
        <v>3</v>
      </c>
      <c r="F2" s="1" t="s">
        <v>44</v>
      </c>
      <c r="G2" s="9">
        <v>2.11</v>
      </c>
      <c r="I2" s="19" t="s">
        <v>42</v>
      </c>
      <c r="J2" s="20"/>
      <c r="K2" s="20"/>
      <c r="L2" s="20"/>
      <c r="M2" s="20"/>
      <c r="N2" s="20"/>
      <c r="O2" s="20"/>
      <c r="P2" s="21"/>
    </row>
    <row r="3" spans="1:21" ht="15" thickBot="1" x14ac:dyDescent="0.35">
      <c r="A3" s="10">
        <v>2</v>
      </c>
      <c r="B3" s="17" t="s">
        <v>4</v>
      </c>
      <c r="C3" s="17" t="s">
        <v>5</v>
      </c>
      <c r="D3" s="11">
        <v>2</v>
      </c>
      <c r="E3" s="17" t="s">
        <v>6</v>
      </c>
      <c r="F3" s="2" t="s">
        <v>45</v>
      </c>
      <c r="G3" s="12">
        <v>0.23</v>
      </c>
    </row>
    <row r="4" spans="1:21" ht="15.6" thickTop="1" thickBot="1" x14ac:dyDescent="0.35">
      <c r="A4" s="10">
        <v>3</v>
      </c>
      <c r="B4" s="17" t="s">
        <v>7</v>
      </c>
      <c r="C4" s="17" t="s">
        <v>8</v>
      </c>
      <c r="D4" s="11">
        <v>4</v>
      </c>
      <c r="E4" s="17" t="s">
        <v>9</v>
      </c>
      <c r="F4" s="2" t="s">
        <v>54</v>
      </c>
      <c r="G4" s="12">
        <v>0.65</v>
      </c>
      <c r="I4" s="24" t="s">
        <v>55</v>
      </c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1" ht="15.6" thickTop="1" thickBot="1" x14ac:dyDescent="0.35">
      <c r="A5" s="10">
        <v>4</v>
      </c>
      <c r="B5" s="17" t="s">
        <v>10</v>
      </c>
      <c r="C5" s="17" t="s">
        <v>2</v>
      </c>
      <c r="D5" s="11">
        <v>2</v>
      </c>
      <c r="E5" s="17" t="s">
        <v>11</v>
      </c>
      <c r="F5" s="2" t="s">
        <v>47</v>
      </c>
      <c r="G5" s="12">
        <v>0.45</v>
      </c>
      <c r="I5" s="24" t="s">
        <v>56</v>
      </c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</row>
    <row r="6" spans="1:21" ht="15.6" thickTop="1" thickBot="1" x14ac:dyDescent="0.35">
      <c r="A6" s="10">
        <v>5</v>
      </c>
      <c r="B6" s="17" t="s">
        <v>12</v>
      </c>
      <c r="C6" s="17" t="s">
        <v>5</v>
      </c>
      <c r="D6" s="11">
        <v>4</v>
      </c>
      <c r="E6" s="17" t="s">
        <v>13</v>
      </c>
      <c r="F6" s="2" t="s">
        <v>46</v>
      </c>
      <c r="G6" s="12">
        <v>0.22</v>
      </c>
      <c r="I6" s="24" t="s">
        <v>57</v>
      </c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1:21" ht="15.6" thickTop="1" thickBot="1" x14ac:dyDescent="0.35">
      <c r="A7" s="10">
        <v>6</v>
      </c>
      <c r="B7" s="17" t="s">
        <v>14</v>
      </c>
      <c r="C7" s="17" t="s">
        <v>15</v>
      </c>
      <c r="D7" s="11">
        <v>4</v>
      </c>
      <c r="E7" s="17" t="s">
        <v>16</v>
      </c>
      <c r="F7" s="2" t="s">
        <v>48</v>
      </c>
      <c r="G7" s="12">
        <v>0.66</v>
      </c>
      <c r="I7" s="24" t="s">
        <v>58</v>
      </c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1" ht="15" thickTop="1" x14ac:dyDescent="0.3">
      <c r="A8" s="10">
        <v>7</v>
      </c>
      <c r="B8" s="17" t="s">
        <v>17</v>
      </c>
      <c r="C8" s="17" t="s">
        <v>18</v>
      </c>
      <c r="D8" s="11">
        <v>1</v>
      </c>
      <c r="E8" s="17" t="s">
        <v>19</v>
      </c>
      <c r="F8" s="11"/>
      <c r="G8" s="12"/>
    </row>
    <row r="9" spans="1:21" x14ac:dyDescent="0.3">
      <c r="A9" s="10">
        <v>8</v>
      </c>
      <c r="B9" s="17" t="s">
        <v>20</v>
      </c>
      <c r="C9" s="17" t="s">
        <v>21</v>
      </c>
      <c r="D9" s="11">
        <v>2</v>
      </c>
      <c r="E9" s="17" t="s">
        <v>22</v>
      </c>
      <c r="F9" s="2" t="s">
        <v>49</v>
      </c>
      <c r="G9" s="12">
        <v>0.82</v>
      </c>
      <c r="L9" s="22"/>
    </row>
    <row r="10" spans="1:21" x14ac:dyDescent="0.3">
      <c r="A10" s="10">
        <v>9</v>
      </c>
      <c r="B10" s="17" t="s">
        <v>23</v>
      </c>
      <c r="C10" s="17" t="s">
        <v>5</v>
      </c>
      <c r="D10" s="11">
        <v>2</v>
      </c>
      <c r="E10" s="17" t="s">
        <v>24</v>
      </c>
      <c r="F10" s="2" t="s">
        <v>53</v>
      </c>
      <c r="G10" s="12">
        <v>0.22</v>
      </c>
    </row>
    <row r="11" spans="1:21" x14ac:dyDescent="0.3">
      <c r="A11" s="10">
        <v>10</v>
      </c>
      <c r="B11" s="17" t="s">
        <v>25</v>
      </c>
      <c r="C11" s="17" t="s">
        <v>26</v>
      </c>
      <c r="D11" s="11">
        <v>1</v>
      </c>
      <c r="E11" s="17" t="s">
        <v>27</v>
      </c>
      <c r="F11" s="2" t="s">
        <v>52</v>
      </c>
      <c r="G11" s="12">
        <v>0.56999999999999995</v>
      </c>
    </row>
    <row r="12" spans="1:21" x14ac:dyDescent="0.3">
      <c r="A12" s="10">
        <v>11</v>
      </c>
      <c r="B12" s="17" t="s">
        <v>28</v>
      </c>
      <c r="C12" s="17" t="s">
        <v>18</v>
      </c>
      <c r="D12" s="11">
        <v>1</v>
      </c>
      <c r="E12" s="17" t="s">
        <v>29</v>
      </c>
      <c r="F12" s="2" t="s">
        <v>50</v>
      </c>
      <c r="G12" s="12">
        <v>0.5</v>
      </c>
    </row>
    <row r="13" spans="1:21" x14ac:dyDescent="0.3">
      <c r="A13" s="10">
        <v>12</v>
      </c>
      <c r="B13" s="17" t="s">
        <v>30</v>
      </c>
      <c r="C13" s="17" t="s">
        <v>31</v>
      </c>
      <c r="D13" s="11">
        <v>1</v>
      </c>
      <c r="E13" s="17" t="s">
        <v>32</v>
      </c>
      <c r="F13" s="2" t="s">
        <v>51</v>
      </c>
      <c r="G13" s="12">
        <v>0.62</v>
      </c>
    </row>
    <row r="14" spans="1:21" x14ac:dyDescent="0.3">
      <c r="A14" s="10">
        <v>13</v>
      </c>
      <c r="B14" s="17"/>
      <c r="C14" s="17" t="s">
        <v>38</v>
      </c>
      <c r="D14" s="11">
        <v>1</v>
      </c>
      <c r="E14" s="17"/>
      <c r="F14" s="11"/>
      <c r="G14" s="12">
        <v>3</v>
      </c>
    </row>
    <row r="15" spans="1:21" x14ac:dyDescent="0.3">
      <c r="A15" s="10">
        <v>14</v>
      </c>
      <c r="B15" s="17"/>
      <c r="C15" s="17" t="s">
        <v>39</v>
      </c>
      <c r="D15" s="11">
        <v>1</v>
      </c>
      <c r="E15" s="17"/>
      <c r="F15" s="11"/>
      <c r="G15" s="12">
        <v>10.199999999999999</v>
      </c>
    </row>
    <row r="16" spans="1:21" ht="15" thickBot="1" x14ac:dyDescent="0.35">
      <c r="A16" s="13">
        <v>15</v>
      </c>
      <c r="B16" s="18"/>
      <c r="C16" s="18" t="s">
        <v>40</v>
      </c>
      <c r="D16" s="14">
        <v>1</v>
      </c>
      <c r="E16" s="18" t="s">
        <v>41</v>
      </c>
      <c r="F16" s="14"/>
      <c r="G16" s="15">
        <v>4.24</v>
      </c>
    </row>
    <row r="17" spans="6:8" ht="15" thickBot="1" x14ac:dyDescent="0.35"/>
    <row r="18" spans="6:8" ht="15" thickBot="1" x14ac:dyDescent="0.35">
      <c r="F18" s="23" t="s">
        <v>59</v>
      </c>
      <c r="G18" s="25">
        <f>SUM(G2:G17)</f>
        <v>24.490000000000002</v>
      </c>
    </row>
    <row r="19" spans="6:8" ht="15" thickBot="1" x14ac:dyDescent="0.35">
      <c r="G19" s="26" t="s">
        <v>60</v>
      </c>
      <c r="H19" s="29" t="s">
        <v>61</v>
      </c>
    </row>
    <row r="20" spans="6:8" ht="15" thickBot="1" x14ac:dyDescent="0.35">
      <c r="F20" s="27" t="s">
        <v>62</v>
      </c>
      <c r="G20" s="28">
        <v>42.49</v>
      </c>
    </row>
  </sheetData>
  <hyperlinks>
    <hyperlink ref="F3" r:id="rId1" tooltip="C2907218" display="https://www.lcsc.com/product-detail/C2907218.html?s_z=n_q_t_resistor&amp;spm=wm.fly.bg.1.cbh___wm.ssy.tc.0.tz&amp;lcsc_vid=FlddVwdQFVVeXgVeQ1MIX1AHFgBXVV0HFFhdVAUEFAQxVlNeR1JdVVRWQlFZVDsOAxUeFF5JWBYZEEoKFBINSQcJGk4eFQsCAgIaSgADAwAHC0slRVdWV1xRT08GEwkK" xr:uid="{ABA3C46B-0E14-4931-9C97-F0059A9A23E5}"/>
    <hyperlink ref="F2" r:id="rId2" tooltip="C2680878" display="https://www.lcsc.com/product-detail/C2680878.html?s_z=n_q_IRLZ44N&amp;spm=wm.fly.bg.0.cbh&amp;lcsc_vid=FlddVwdQFVVeXgVeQ1MIX1AHFgBXVV0HFFhdVAUEFAQxVlNeR1JdVl1URVlZXjsOAxUeFF5JWBYZEEoKFBINSQcJGk4NBhYS" xr:uid="{37C59382-EA1B-4FAB-AF65-4471FC6C0844}"/>
    <hyperlink ref="F5" r:id="rId3" tooltip="C41430593" display="https://www.lcsc.com/product-detail/C41430593.html?s_z=n_q_IRFR9024N&amp;spm=wm.fly.bg.2.cbh&amp;lcsc_vid=FlddVwdQFVVeXgVeQ1MIX1AHFgBXVV0HFFhdVAUEFAQxVlNeR1JdVVZST1NfUzsOAxUeFF5JWBYZEEoKFBINSQcJGk4NBhADEA4cHktXRlhXSQwSGg0%3D" xr:uid="{54FEA649-7EA3-40DB-B93F-D1F09D6CDC6C}"/>
    <hyperlink ref="F7" r:id="rId4" display="https://www.lcsc.com/product-detail/C908680.html?s_z=n_q_C908680&amp;globalKeyword=C908680" xr:uid="{F9D571C2-6120-4F8C-8653-534B60470F17}"/>
    <hyperlink ref="F9" r:id="rId5" tooltip="C57668" display="https://www.lcsc.com/product-detail/C57668.html?s_z=n_q_t_transistor&amp;spm=wm.fly.bg.0.cbh___wm.ssy.tc.0.tz&amp;lcsc_vid=FlddVwdQFVVeXgVeQ1MIX1AHFgBXVV0HFFhdVAUEFAQxVlNeR1JdU11STlReVzsOAxUeFF5JWBYZEEoKFBINSQcJGk4eFQsCAgIaSgADAwAHC0slRFBXUl1eQ08GEwkK" xr:uid="{ADDF6778-BCFA-4E8C-92F8-7443E1DDA984}"/>
    <hyperlink ref="F12" r:id="rId6" display="https://www.lcsc.com/product-detail/Screw-terminal_Cixi-Kefa-Elec-KF301-5-0-2P_C474881.html" xr:uid="{839C5441-F095-4CC4-A1FB-FAA59604A2B4}"/>
    <hyperlink ref="F13" r:id="rId7" tooltip="C52016392" display="https://www.lcsc.com/product-detail/C52016392.html?s_z=n_q_p_pin%2520header%25201%2A4&amp;spm=wm.ssy.bg.4.cbh&amp;lcsc_vid=FlddVwdQFVVeXgVeQ1MIX1AHFgBXVV0HFFhdVAUEFAQxVlNeR1JdUlZTT1heVzsOAxUeFF5JWBYZEEoKFBINSQcJGk4dAgUUFAk%3D" xr:uid="{ADC4B40F-186E-4286-8C37-22E02A042098}"/>
    <hyperlink ref="F11" r:id="rId8" tooltip="C72518" display="https://www.lcsc.com/product-detail/C72518.html?s_z=n_q_t_capacitor&amp;spm=wm.fly.bg.3.cbh___wm.ssy.tc.0.tz&amp;lcsc_vid=FlddVwdQFVVeXgVeQ1MIX1AHFgBXVV0HFFhdVAUEFAQxVlNeR1JdUlJfQ1lcUTsOAxUeFF5JWBYZEEoKFBINSQcJGk4NBhADEA4cHktXRVJADxALGw%3D%3D" xr:uid="{7FED5553-2F44-49DD-9FCF-439829711813}"/>
    <hyperlink ref="F10" r:id="rId9" tooltip="C2907232" display="https://www.lcsc.com/product-detail/C2907232.html?s_z=n_q_t_resistor&amp;spm=wm.fly.bg.0.cbh___wm.ssy.tc.0.tz&amp;lcsc_vid=FlddVwdQFVVeXgVeQ1MIX1AHFgBXVV0HFFhdVAUEFAQxVlNeR1JdUlxeRldXUDsOAxUeFF5JWBYZEEoKFBINSQcJGk4NBhADEA4cHktXRlVeSQwSGg0%3D" xr:uid="{FEE1957E-87AF-4366-A967-0EF106FFFDCD}"/>
    <hyperlink ref="F6" r:id="rId10" tooltip="C2907219" display="https://www.lcsc.com/product-detail/C2907219.html?s_z=n_q_t_resistor&amp;spm=wm.fly.bg.0.cbh___wm.ssy.tc.0.tz&amp;lcsc_vid=FlddVwdQFVVeXgVeQ1MIX1AHFgBXVV0HFFhdVAUEFAQxVlNeR1JdUlxeRldXUDsOAxUeFF5JWBYZEEoKFBINSQcJGk4NBhADEA4cHktXRlVeSQwSGg0%3D" xr:uid="{BE0CA364-A45D-41D8-8F2F-A56A52A77DE7}"/>
    <hyperlink ref="F4" r:id="rId11" tooltip="C49678" display="https://www.lcsc.com/product-detail/C49678.html?s_z=n_q_t_capacitor&amp;spm=wm.fly.bg.0.cbh___wm.ssy.tc.2.tz&amp;lcsc_vid=FlddVwdQFVVeXgVeQ1MIX1AHFgBXVV0HFFhdVAUEFAQxVlNeR1JaVlJRR1ZWXjsOAxUeFF5JWBYZEEoKFBINSQcJGk4NBhYS" xr:uid="{63FFB1EF-115C-4740-A375-68268735C90B}"/>
  </hyperlinks>
  <pageMargins left="0.7" right="0.7" top="0.78740157499999996" bottom="0.78740157499999996" header="0.3" footer="0.3"/>
  <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H Bridge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vojto</dc:creator>
  <cp:lastModifiedBy>kubena ondrej</cp:lastModifiedBy>
  <dcterms:created xsi:type="dcterms:W3CDTF">2026-06-01T16:32:39Z</dcterms:created>
  <dcterms:modified xsi:type="dcterms:W3CDTF">2026-06-02T14:00:27Z</dcterms:modified>
</cp:coreProperties>
</file>